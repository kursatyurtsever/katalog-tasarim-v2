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\Nuri\katalog-tasarim-v2\"/>
    </mc:Choice>
  </mc:AlternateContent>
  <xr:revisionPtr revIDLastSave="0" documentId="13_ncr:1_{7AD9937E-29D4-4D64-B0D2-9B8515BB39F9}" xr6:coauthVersionLast="47" xr6:coauthVersionMax="47" xr10:uidLastSave="{00000000-0000-0000-0000-000000000000}"/>
  <bookViews>
    <workbookView xWindow="-1860" yWindow="1425" windowWidth="28800" windowHeight="14580" xr2:uid="{829A082B-4BA8-44C9-B291-ABAF2D9932FE}"/>
  </bookViews>
  <sheets>
    <sheet name="Sayf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4" i="6" l="1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</calcChain>
</file>

<file path=xl/sharedStrings.xml><?xml version="1.0" encoding="utf-8"?>
<sst xmlns="http://schemas.openxmlformats.org/spreadsheetml/2006/main" count="243" uniqueCount="197">
  <si>
    <t>POS</t>
  </si>
  <si>
    <t>RANK</t>
  </si>
  <si>
    <t>ARTNR</t>
  </si>
  <si>
    <t>BEZEICHNUNG</t>
  </si>
  <si>
    <t>G.VK.KND</t>
  </si>
  <si>
    <t>ARTGRP</t>
  </si>
  <si>
    <t>PSD</t>
  </si>
  <si>
    <t>Thunfisch La Perla in Öl 1705g</t>
  </si>
  <si>
    <t>Milram Gouda Käse 48% 1 Kg</t>
  </si>
  <si>
    <t>431A</t>
  </si>
  <si>
    <t>Chicken Nuggets Halal 1 Kg</t>
  </si>
  <si>
    <t>216F</t>
  </si>
  <si>
    <t>Rapsöl 10 L</t>
  </si>
  <si>
    <t>Shrimps gekocht Nordic 80 od 90 /120 1Kg</t>
  </si>
  <si>
    <t>Ayran Haydi 20x250 ml</t>
  </si>
  <si>
    <t>Alufolie Rolle 29 cm 80 M</t>
  </si>
  <si>
    <t>330F</t>
  </si>
  <si>
    <t>H-Küchensahne 20% Frischli 1L</t>
  </si>
  <si>
    <t>Spinat Portion 2,5 Kg Bonduelle</t>
  </si>
  <si>
    <t>234H</t>
  </si>
  <si>
    <t>Joghurt Haydi 3,5% 10 Kg</t>
  </si>
  <si>
    <t>229S</t>
  </si>
  <si>
    <t>Mehl Typ 405 FARINA 10 Kg</t>
  </si>
  <si>
    <t>182L</t>
  </si>
  <si>
    <t>Serviette 1-lagig geprägt 500 Stk</t>
  </si>
  <si>
    <t>H-Schlagsahne 30% Milram 1 L</t>
  </si>
  <si>
    <t>Falafel AF Pack 50 St ca. 1200g</t>
  </si>
  <si>
    <t>325M</t>
  </si>
  <si>
    <t>Broccoli 2,5 Kg Bonduelle</t>
  </si>
  <si>
    <t>213N</t>
  </si>
  <si>
    <t>Garnelen White Tiger 26/30 geschält entdärmt 1 Kg</t>
  </si>
  <si>
    <t>229F</t>
  </si>
  <si>
    <t>Mehl Bindewald/Frießinger  Typ 405 1 Kg</t>
  </si>
  <si>
    <t>156B</t>
  </si>
  <si>
    <t>Salatmayonnaise Wersing Gold 10 Kg</t>
  </si>
  <si>
    <t>229FR</t>
  </si>
  <si>
    <t>Mehl FARINA Speciale 00 1 Kg</t>
  </si>
  <si>
    <t>429BX</t>
  </si>
  <si>
    <t>Baguette Brot G&amp;G 2x150g</t>
  </si>
  <si>
    <t>217B</t>
  </si>
  <si>
    <t>Rostbratwurst Goldaue Naturdarm 30x120g</t>
  </si>
  <si>
    <t>213J</t>
  </si>
  <si>
    <t>Putenformschnittzel SPREHE 200g 3 Kg</t>
  </si>
  <si>
    <t>Broccoli Röschen 40x60 2,5 Kg</t>
  </si>
  <si>
    <t>102M</t>
  </si>
  <si>
    <t>242B</t>
  </si>
  <si>
    <t>Zwiebel Rot 10 Kg</t>
  </si>
  <si>
    <t>Meeresfrüchte Cocktail gekocht</t>
  </si>
  <si>
    <t>Halbflüsigfett Winner 10 Kg</t>
  </si>
  <si>
    <t>Kaffee Becher 200 ml 50 Stk</t>
  </si>
  <si>
    <t>105F</t>
  </si>
  <si>
    <t>Champignon Frisch ca.3 Kg Kiste</t>
  </si>
  <si>
    <t>408B</t>
  </si>
  <si>
    <t xml:space="preserve">Papierhandtücher 2 Lag. 16x200 Blatt Zellstoff </t>
  </si>
  <si>
    <t>275B</t>
  </si>
  <si>
    <t>Hamburger Verpackung Groß IP6 (1672) 125 Stk</t>
  </si>
  <si>
    <t>324B</t>
  </si>
  <si>
    <t>Spinat Portion Horafrost/Pasfrost 2,5 Kg</t>
  </si>
  <si>
    <t>Eier 30 Stk Größe L</t>
  </si>
  <si>
    <t>244DI</t>
  </si>
  <si>
    <t>Peperoni Dimitra 6 Kg</t>
  </si>
  <si>
    <t>88W</t>
  </si>
  <si>
    <t>Garnelen White Tiger 16/20 geschält entdärmt 1 Kg</t>
  </si>
  <si>
    <t>467ST</t>
  </si>
  <si>
    <t>Mozzarella Stange 45% 1 Kg</t>
  </si>
  <si>
    <t>Hamburger Verpackung Klein HP7 (1453) 100 Stk</t>
  </si>
  <si>
    <t>Coca Cola 12x 0,5 L DPG</t>
  </si>
  <si>
    <t>467GE</t>
  </si>
  <si>
    <t>Mozzarella Gerieben 45%  Goldsteig 2 Kg</t>
  </si>
  <si>
    <t>252W</t>
  </si>
  <si>
    <t>Aioli Becher 50 ml Weiss Komplett 500 Stk</t>
  </si>
  <si>
    <t>281B</t>
  </si>
  <si>
    <t>Knoblauchzehen Ganz TK 1 Kg</t>
  </si>
  <si>
    <t>Rindersalami geschnitten Prims Kal. 80 1 Kg</t>
  </si>
  <si>
    <t>111B</t>
  </si>
  <si>
    <t>Oliven Schwarz Ohne Stein 4350 g</t>
  </si>
  <si>
    <t>Hähnchenbrust TK aus Brasil 100% HALAL Kilopreis</t>
  </si>
  <si>
    <t>ANGSET28</t>
  </si>
  <si>
    <t>7 oder 10 MM Aviko Pommes 10 Kg</t>
  </si>
  <si>
    <t>Geschälte Tomate Mutti 2650 ml</t>
  </si>
  <si>
    <t>Hollandaise Sauce Lukul 1L</t>
  </si>
  <si>
    <t>330C</t>
  </si>
  <si>
    <t>H-Milch 3,5% 1 L</t>
  </si>
  <si>
    <t>ANGSET24</t>
  </si>
  <si>
    <t>San. Pellegrino &amp; Aqua Panna 16x0,75L &amp; 24x0,25L</t>
  </si>
  <si>
    <t>ANGSET16</t>
  </si>
  <si>
    <t>Capri Sonne Sorten 10x200 ml</t>
  </si>
  <si>
    <t>ANGSET26</t>
  </si>
  <si>
    <t>Durstlöscher Sorten 12x0,5L</t>
  </si>
  <si>
    <t>ANGSET12</t>
  </si>
  <si>
    <t>Coca Cola Dose Sorten 24 x 0,33 L DPG</t>
  </si>
  <si>
    <t>ANGSET27</t>
  </si>
  <si>
    <t>Fritz Cola Sorten 24 x 0,33 L</t>
  </si>
  <si>
    <t>Pizza Sauce La Perla 4200g</t>
  </si>
  <si>
    <t>693S</t>
  </si>
  <si>
    <t>Rinder Salami Geschnitten Stöckle 1 Kg</t>
  </si>
  <si>
    <t>217C</t>
  </si>
  <si>
    <t>Truthahnrostbratwurst Af Pack 10x100g</t>
  </si>
  <si>
    <t>51B</t>
  </si>
  <si>
    <t>Fettlöser Dasty 1 L</t>
  </si>
  <si>
    <t>Spaghetti Barilla Nr.5 500g</t>
  </si>
  <si>
    <t>350F</t>
  </si>
  <si>
    <t>Schafskäse Feta Vasilitsa/ Boukouvalas 1 Kg</t>
  </si>
  <si>
    <t>Paprika Rot Streifen 5/1 4100 g</t>
  </si>
  <si>
    <t>Remoulade 80 % Öl Tube 850 ml</t>
  </si>
  <si>
    <t>Gemüse Mais Bonduelle 3/1 Dose 2650ml</t>
  </si>
  <si>
    <t>185K2</t>
  </si>
  <si>
    <t>Menübox 2 geteilt Champagner 100 St.</t>
  </si>
  <si>
    <t>119HJ</t>
  </si>
  <si>
    <t>Hinterschinken geschnitten Kal. 120  1Kg</t>
  </si>
  <si>
    <t>Tomaten Ketchup Wulfert 10 Kg</t>
  </si>
  <si>
    <t>Vegeta Würzmischung 1kg</t>
  </si>
  <si>
    <t>341C</t>
  </si>
  <si>
    <t>Penne Rigate Barilla Nr.73 500g</t>
  </si>
  <si>
    <t>353B</t>
  </si>
  <si>
    <t>Alpen Salz Eimer 15 Kg</t>
  </si>
  <si>
    <t>211S</t>
  </si>
  <si>
    <t>Pommes Steakhaus TK Aviko 2,5 Kg</t>
  </si>
  <si>
    <t>115A</t>
  </si>
  <si>
    <t>Sardellenfilet in Öl 600g</t>
  </si>
  <si>
    <t>204B</t>
  </si>
  <si>
    <t>Salatschale B3 750 ml (1746) 100 Stk</t>
  </si>
  <si>
    <t>0100B</t>
  </si>
  <si>
    <t>Salomon Chicken Burger Crunchy 135g 1,5 Kg</t>
  </si>
  <si>
    <t>102L</t>
  </si>
  <si>
    <t>Geschälte Tomate La Perla 2650 ml</t>
  </si>
  <si>
    <t>199CA</t>
  </si>
  <si>
    <t>Döner Box To Go 26 OZ 710 ml 50 Stk</t>
  </si>
  <si>
    <t>101L</t>
  </si>
  <si>
    <t>Jalapeno Ring 3100ml</t>
  </si>
  <si>
    <t>310LATEX</t>
  </si>
  <si>
    <t>Handschuhe Latex M 100 St</t>
  </si>
  <si>
    <t>Artischockenherzen 390g</t>
  </si>
  <si>
    <t>FU140</t>
  </si>
  <si>
    <t>Pommes Salz Fuchs 2 Kg</t>
  </si>
  <si>
    <t>156J</t>
  </si>
  <si>
    <t>Joppiesauce Elite 2,5 Kg</t>
  </si>
  <si>
    <t>Alu Schale R1 845 L 100 Stk</t>
  </si>
  <si>
    <t>45E</t>
  </si>
  <si>
    <t>Essig 5% Hell 10 L</t>
  </si>
  <si>
    <t>Tortellini Gelb alla Carne Bella Italia 4x250g</t>
  </si>
  <si>
    <t>Alu Deckel R1- 845 L 100 Stk</t>
  </si>
  <si>
    <t>Calamari Tuben Roh U/5 1Kg</t>
  </si>
  <si>
    <t>Vorderschinken Foodane 93% 5 Kg</t>
  </si>
  <si>
    <t>159M</t>
  </si>
  <si>
    <t>Pita Brot 18 cm Elviart 10 Stk TK</t>
  </si>
  <si>
    <t>429AM</t>
  </si>
  <si>
    <t>Hamburger Brötchen mit Sesam 30x80 gr Art.Nr: 803</t>
  </si>
  <si>
    <t>10B</t>
  </si>
  <si>
    <t>Salami Weiß Stange Eggelbusch Kal 80 1 Kg</t>
  </si>
  <si>
    <t>Bratkartoffeln TK Aviko 2,5 Kg</t>
  </si>
  <si>
    <t>159UZO</t>
  </si>
  <si>
    <t>Ouzo Pilavas 70 cl</t>
  </si>
  <si>
    <t>156T</t>
  </si>
  <si>
    <t>Salatmayonnaise 80 % Öl Tube 875 ml</t>
  </si>
  <si>
    <t>Trinkbecher Weiss 200 ml 100 Stk</t>
  </si>
  <si>
    <t>ANGSET10</t>
  </si>
  <si>
    <t>Kein Verkauf Flayer Set Cola 12 x 1 L</t>
  </si>
  <si>
    <t>ANGSET11</t>
  </si>
  <si>
    <t>Kein Verkauf Flayer Set Cola 24 x 0,33 L Fl.</t>
  </si>
  <si>
    <t>ANGSET13</t>
  </si>
  <si>
    <t>Kein Verkauf Flayer Set Cola  24 x 0,2 L Fl.</t>
  </si>
  <si>
    <t>ANGSET14</t>
  </si>
  <si>
    <t>Kein Verkauf Flayer Set Cola 12x 0,5 L DPG</t>
  </si>
  <si>
    <t>ANGSET15</t>
  </si>
  <si>
    <t>Kein Verkauf Flayer Set Pizzakartons</t>
  </si>
  <si>
    <t>ANGSET17</t>
  </si>
  <si>
    <t>Kein Verkauf Flayer Set Dip Souce Heinz</t>
  </si>
  <si>
    <t>ANGSET18</t>
  </si>
  <si>
    <t>Kein Verkauf Flayer Set Tafelwein</t>
  </si>
  <si>
    <t>ANGSET19</t>
  </si>
  <si>
    <t>Kein Verkauf Flayer Set Menübox</t>
  </si>
  <si>
    <t>ANGSET20</t>
  </si>
  <si>
    <t>Kein Verkauf Flayer Set Menüteller</t>
  </si>
  <si>
    <t>ANGSET21</t>
  </si>
  <si>
    <t>Kein Verkauf Flayer Set Besteck</t>
  </si>
  <si>
    <t>ANGSET22</t>
  </si>
  <si>
    <t>Kein Verkauf Flayer Set Nudeln</t>
  </si>
  <si>
    <t>ANGSET23</t>
  </si>
  <si>
    <t>Kein Verkauf Flayer Set Mehl 25 Kg</t>
  </si>
  <si>
    <t>ANGSET25</t>
  </si>
  <si>
    <t>Kein Verkauf Flayer Set Sprehe</t>
  </si>
  <si>
    <t>ANGSET29</t>
  </si>
  <si>
    <t xml:space="preserve">Kein Verkauf Flayer Set </t>
  </si>
  <si>
    <t>ANGSET30</t>
  </si>
  <si>
    <t>ANGSET31</t>
  </si>
  <si>
    <t>ANGSET32</t>
  </si>
  <si>
    <t>ANGSET33</t>
  </si>
  <si>
    <t>ANGSET34</t>
  </si>
  <si>
    <t>ANGSET35</t>
  </si>
  <si>
    <t>EK</t>
  </si>
  <si>
    <t>VK_NETTO</t>
  </si>
  <si>
    <t>KAR_%</t>
  </si>
  <si>
    <t>Gabel/Löffel/Messer 18 cm 100 Stk</t>
  </si>
  <si>
    <t>Menüteller 1/2/3 geteilt 100 Stk</t>
  </si>
  <si>
    <t>Hähnchenschnitzel Paniert SPREHE 140/160/180/200g  3 Kg</t>
  </si>
  <si>
    <t>Salomon Chicken Burger Crunchy 90/135g 1,5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</si>
</sst>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2FA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F8F7-F2F7-4142-ABCD-CA189EEC430E}">
  <dimension ref="A1:P114"/>
  <sheetViews>
    <sheetView tabSelected="1" workbookViewId="0">
      <selection activeCell="M11" sqref="M10:M11"/>
    </sheetView>
  </sheetViews>
  <sheetFormatPr defaultRowHeight="15" x14ac:dyDescent="0.25"/>
  <cols>
    <col min="1" max="1" width="4.5703125" bestFit="1" customWidth="1"/>
    <col min="2" max="2" width="6" bestFit="1" customWidth="1"/>
    <col min="3" max="3" width="10" style="3" bestFit="1" customWidth="1"/>
    <col min="4" max="4" width="47.5703125" bestFit="1" customWidth="1"/>
    <col min="5" max="5" width="9.85546875" bestFit="1" customWidth="1"/>
    <col min="6" max="6" width="6" bestFit="1" customWidth="1"/>
    <col min="7" max="7" width="10.28515625" bestFit="1" customWidth="1"/>
    <col min="8" max="8" width="7.140625" bestFit="1" customWidth="1"/>
    <col min="9" max="9" width="8.140625" bestFit="1" customWidth="1"/>
    <col min="10" max="10" width="13.85546875" bestFit="1" customWidth="1"/>
    <col min="15" max="15" width="10" bestFit="1" customWidth="1"/>
    <col min="16" max="16" width="38.7109375" bestFit="1" customWidth="1"/>
  </cols>
  <sheetData>
    <row r="1" spans="1:16" s="2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190</v>
      </c>
      <c r="G1" s="4" t="s">
        <v>191</v>
      </c>
      <c r="H1" s="4" t="s">
        <v>192</v>
      </c>
      <c r="I1" s="4" t="s">
        <v>5</v>
      </c>
      <c r="J1" s="4" t="s">
        <v>6</v>
      </c>
      <c r="K1"/>
      <c r="L1"/>
      <c r="M1"/>
      <c r="N1"/>
      <c r="O1"/>
      <c r="P1"/>
    </row>
    <row r="2" spans="1:16" x14ac:dyDescent="0.25">
      <c r="A2">
        <v>1</v>
      </c>
      <c r="C2" s="3">
        <v>16542</v>
      </c>
      <c r="D2" t="s">
        <v>8</v>
      </c>
      <c r="E2">
        <v>3355</v>
      </c>
      <c r="F2">
        <v>3.79</v>
      </c>
      <c r="G2">
        <v>3.79</v>
      </c>
      <c r="H2" s="1">
        <v>0</v>
      </c>
      <c r="I2">
        <v>62</v>
      </c>
      <c r="J2" t="str">
        <f>C2&amp;".psd"</f>
        <v>16542.psd</v>
      </c>
      <c r="O2" t="s">
        <v>156</v>
      </c>
      <c r="P2" t="s">
        <v>157</v>
      </c>
    </row>
    <row r="3" spans="1:16" x14ac:dyDescent="0.25">
      <c r="A3">
        <v>2</v>
      </c>
      <c r="C3" s="3">
        <v>235</v>
      </c>
      <c r="D3" t="s">
        <v>7</v>
      </c>
      <c r="E3">
        <v>1942</v>
      </c>
      <c r="F3">
        <v>6.79</v>
      </c>
      <c r="G3">
        <v>6.99</v>
      </c>
      <c r="H3" s="1">
        <v>2.86E-2</v>
      </c>
      <c r="I3">
        <v>46</v>
      </c>
      <c r="J3" t="str">
        <f t="shared" ref="J3:J10" si="0">C3&amp;".psd"</f>
        <v>235.psd</v>
      </c>
      <c r="O3" t="s">
        <v>158</v>
      </c>
      <c r="P3" t="s">
        <v>159</v>
      </c>
    </row>
    <row r="4" spans="1:16" x14ac:dyDescent="0.25">
      <c r="A4">
        <v>3</v>
      </c>
      <c r="C4" s="3" t="s">
        <v>29</v>
      </c>
      <c r="D4" t="s">
        <v>76</v>
      </c>
      <c r="E4">
        <v>993</v>
      </c>
      <c r="F4">
        <v>3.85</v>
      </c>
      <c r="G4">
        <v>3.99</v>
      </c>
      <c r="H4" s="1">
        <v>3.5099999999999999E-2</v>
      </c>
      <c r="I4">
        <v>71</v>
      </c>
      <c r="J4" t="str">
        <f t="shared" si="0"/>
        <v>213N.psd</v>
      </c>
      <c r="O4" t="s">
        <v>160</v>
      </c>
      <c r="P4" t="s">
        <v>161</v>
      </c>
    </row>
    <row r="5" spans="1:16" x14ac:dyDescent="0.25">
      <c r="A5">
        <v>4</v>
      </c>
      <c r="C5" s="3" t="s">
        <v>77</v>
      </c>
      <c r="D5" t="s">
        <v>78</v>
      </c>
      <c r="E5">
        <v>3815</v>
      </c>
      <c r="F5">
        <v>13.59</v>
      </c>
      <c r="G5">
        <v>13.79</v>
      </c>
      <c r="H5" s="1">
        <v>1.4500000000000001E-2</v>
      </c>
      <c r="I5">
        <v>64</v>
      </c>
      <c r="J5" t="str">
        <f t="shared" si="0"/>
        <v>ANGSET28.psd</v>
      </c>
      <c r="O5" t="s">
        <v>162</v>
      </c>
      <c r="P5" t="s">
        <v>163</v>
      </c>
    </row>
    <row r="6" spans="1:16" x14ac:dyDescent="0.25">
      <c r="A6">
        <v>5</v>
      </c>
      <c r="C6" s="3" t="s">
        <v>11</v>
      </c>
      <c r="D6" t="s">
        <v>12</v>
      </c>
      <c r="E6">
        <v>1971</v>
      </c>
      <c r="F6">
        <v>12</v>
      </c>
      <c r="G6">
        <v>12.39</v>
      </c>
      <c r="H6" s="1">
        <v>3.15E-2</v>
      </c>
      <c r="I6">
        <v>14</v>
      </c>
      <c r="J6" t="str">
        <f t="shared" si="0"/>
        <v>216F.psd</v>
      </c>
      <c r="O6" t="s">
        <v>164</v>
      </c>
      <c r="P6" t="s">
        <v>165</v>
      </c>
    </row>
    <row r="7" spans="1:16" x14ac:dyDescent="0.25">
      <c r="A7">
        <v>6</v>
      </c>
      <c r="C7" s="3" t="s">
        <v>33</v>
      </c>
      <c r="D7" t="s">
        <v>34</v>
      </c>
      <c r="E7">
        <v>931</v>
      </c>
      <c r="F7">
        <v>21.99</v>
      </c>
      <c r="G7">
        <v>21.99</v>
      </c>
      <c r="H7" s="1">
        <v>0</v>
      </c>
      <c r="I7">
        <v>33</v>
      </c>
      <c r="J7" t="str">
        <f t="shared" si="0"/>
        <v>156B.psd</v>
      </c>
      <c r="O7" t="s">
        <v>166</v>
      </c>
      <c r="P7" t="s">
        <v>167</v>
      </c>
    </row>
    <row r="8" spans="1:16" x14ac:dyDescent="0.25">
      <c r="A8">
        <v>7</v>
      </c>
      <c r="C8" s="3" t="s">
        <v>44</v>
      </c>
      <c r="D8" t="s">
        <v>79</v>
      </c>
      <c r="E8">
        <v>1613</v>
      </c>
      <c r="F8">
        <v>3.89</v>
      </c>
      <c r="G8">
        <v>4.49</v>
      </c>
      <c r="H8" s="1">
        <v>0.1336</v>
      </c>
      <c r="I8">
        <v>38</v>
      </c>
      <c r="J8" t="str">
        <f t="shared" si="0"/>
        <v>102M.psd</v>
      </c>
      <c r="O8" t="s">
        <v>168</v>
      </c>
      <c r="P8" t="s">
        <v>169</v>
      </c>
    </row>
    <row r="9" spans="1:16" x14ac:dyDescent="0.25">
      <c r="A9">
        <v>8</v>
      </c>
      <c r="C9" s="3">
        <v>555</v>
      </c>
      <c r="D9" t="s">
        <v>80</v>
      </c>
      <c r="E9">
        <v>1613</v>
      </c>
      <c r="F9">
        <v>3.89</v>
      </c>
      <c r="G9">
        <v>3.89</v>
      </c>
      <c r="H9" s="1">
        <v>0</v>
      </c>
      <c r="I9">
        <v>38</v>
      </c>
      <c r="J9" t="str">
        <f>C9&amp;".psd"</f>
        <v>555.psd</v>
      </c>
      <c r="O9" t="s">
        <v>170</v>
      </c>
      <c r="P9" t="s">
        <v>171</v>
      </c>
    </row>
    <row r="10" spans="1:16" x14ac:dyDescent="0.25">
      <c r="A10">
        <v>9</v>
      </c>
      <c r="C10" s="3" t="s">
        <v>16</v>
      </c>
      <c r="D10" t="s">
        <v>17</v>
      </c>
      <c r="E10">
        <v>1888</v>
      </c>
      <c r="F10">
        <v>1.75</v>
      </c>
      <c r="G10">
        <v>1.99</v>
      </c>
      <c r="H10" s="1">
        <v>0.1206</v>
      </c>
      <c r="I10">
        <v>35</v>
      </c>
      <c r="J10" t="str">
        <f t="shared" si="0"/>
        <v>330F.psd</v>
      </c>
      <c r="O10" t="s">
        <v>172</v>
      </c>
      <c r="P10" t="s">
        <v>173</v>
      </c>
    </row>
    <row r="11" spans="1:16" x14ac:dyDescent="0.25">
      <c r="A11">
        <v>10</v>
      </c>
      <c r="C11" s="3" t="s">
        <v>81</v>
      </c>
      <c r="D11" t="s">
        <v>82</v>
      </c>
      <c r="E11">
        <v>473</v>
      </c>
      <c r="F11">
        <v>0.62</v>
      </c>
      <c r="G11">
        <v>0.69</v>
      </c>
      <c r="H11" s="1">
        <v>0.1014</v>
      </c>
      <c r="I11">
        <v>37</v>
      </c>
      <c r="J11" t="str">
        <f>C11&amp;".psd"</f>
        <v>330C.psd</v>
      </c>
      <c r="O11" t="s">
        <v>174</v>
      </c>
      <c r="P11" t="s">
        <v>175</v>
      </c>
    </row>
    <row r="12" spans="1:16" x14ac:dyDescent="0.25">
      <c r="A12">
        <v>11</v>
      </c>
      <c r="C12" s="3" t="s">
        <v>83</v>
      </c>
      <c r="D12" t="s">
        <v>84</v>
      </c>
      <c r="E12">
        <v>1613</v>
      </c>
      <c r="F12">
        <v>3.89</v>
      </c>
      <c r="G12">
        <v>10.99</v>
      </c>
      <c r="H12" s="1">
        <v>0.64600000000000002</v>
      </c>
      <c r="I12">
        <v>38</v>
      </c>
      <c r="J12" t="str">
        <f t="shared" ref="J12:J72" si="1">C12&amp;".psd"</f>
        <v>ANGSET24.psd</v>
      </c>
      <c r="O12" t="s">
        <v>176</v>
      </c>
      <c r="P12" t="s">
        <v>177</v>
      </c>
    </row>
    <row r="13" spans="1:16" x14ac:dyDescent="0.25">
      <c r="A13">
        <v>12</v>
      </c>
      <c r="C13" s="3" t="s">
        <v>85</v>
      </c>
      <c r="D13" t="s">
        <v>86</v>
      </c>
      <c r="E13">
        <v>1613</v>
      </c>
      <c r="F13">
        <v>3.89</v>
      </c>
      <c r="G13">
        <v>10.99</v>
      </c>
      <c r="H13" s="1">
        <v>0.64600000000000002</v>
      </c>
      <c r="I13">
        <v>38</v>
      </c>
      <c r="J13" t="str">
        <f t="shared" si="1"/>
        <v>ANGSET16.psd</v>
      </c>
      <c r="O13" t="s">
        <v>178</v>
      </c>
      <c r="P13" t="s">
        <v>179</v>
      </c>
    </row>
    <row r="14" spans="1:16" x14ac:dyDescent="0.25">
      <c r="A14">
        <v>13</v>
      </c>
      <c r="C14" s="3" t="s">
        <v>87</v>
      </c>
      <c r="D14" t="s">
        <v>88</v>
      </c>
      <c r="E14">
        <v>1613</v>
      </c>
      <c r="F14">
        <v>3.89</v>
      </c>
      <c r="G14">
        <v>5.99</v>
      </c>
      <c r="H14" s="1">
        <v>0.35060000000000002</v>
      </c>
      <c r="I14">
        <v>38</v>
      </c>
      <c r="J14" t="str">
        <f t="shared" si="1"/>
        <v>ANGSET26.psd</v>
      </c>
      <c r="O14" t="s">
        <v>180</v>
      </c>
      <c r="P14" t="s">
        <v>181</v>
      </c>
    </row>
    <row r="15" spans="1:16" x14ac:dyDescent="0.25">
      <c r="A15">
        <v>14</v>
      </c>
      <c r="C15" s="3" t="s">
        <v>89</v>
      </c>
      <c r="D15" t="s">
        <v>90</v>
      </c>
      <c r="E15">
        <v>1363</v>
      </c>
      <c r="F15">
        <v>9.89</v>
      </c>
      <c r="G15">
        <v>10.69</v>
      </c>
      <c r="H15" s="1">
        <v>7.4800000000000005E-2</v>
      </c>
      <c r="I15">
        <v>36</v>
      </c>
      <c r="J15" t="str">
        <f t="shared" si="1"/>
        <v>ANGSET12.psd</v>
      </c>
      <c r="O15" t="s">
        <v>182</v>
      </c>
      <c r="P15" t="s">
        <v>183</v>
      </c>
    </row>
    <row r="16" spans="1:16" x14ac:dyDescent="0.25">
      <c r="A16">
        <v>15</v>
      </c>
      <c r="C16" s="3" t="s">
        <v>91</v>
      </c>
      <c r="D16" t="s">
        <v>92</v>
      </c>
      <c r="E16">
        <v>1363</v>
      </c>
      <c r="F16">
        <v>9.89</v>
      </c>
      <c r="G16">
        <v>16.489999999999998</v>
      </c>
      <c r="H16" s="1">
        <v>0.4002</v>
      </c>
      <c r="I16">
        <v>36</v>
      </c>
      <c r="J16" t="str">
        <f t="shared" si="1"/>
        <v>ANGSET27.psd</v>
      </c>
      <c r="O16" t="s">
        <v>184</v>
      </c>
      <c r="P16" t="s">
        <v>183</v>
      </c>
    </row>
    <row r="17" spans="1:16" x14ac:dyDescent="0.25">
      <c r="A17">
        <v>16</v>
      </c>
      <c r="C17" s="3" t="s">
        <v>54</v>
      </c>
      <c r="D17" t="s">
        <v>55</v>
      </c>
      <c r="E17">
        <v>570</v>
      </c>
      <c r="F17">
        <v>5.08</v>
      </c>
      <c r="G17">
        <v>6.99</v>
      </c>
      <c r="H17" s="1">
        <v>0.2732</v>
      </c>
      <c r="I17">
        <v>6</v>
      </c>
      <c r="J17" t="str">
        <f t="shared" si="1"/>
        <v>275B.psd</v>
      </c>
      <c r="O17" t="s">
        <v>185</v>
      </c>
      <c r="P17" t="s">
        <v>183</v>
      </c>
    </row>
    <row r="18" spans="1:16" x14ac:dyDescent="0.25">
      <c r="A18">
        <v>17</v>
      </c>
      <c r="C18" s="3" t="s">
        <v>9</v>
      </c>
      <c r="D18" t="s">
        <v>10</v>
      </c>
      <c r="E18">
        <v>3069</v>
      </c>
      <c r="F18">
        <v>4.24</v>
      </c>
      <c r="G18">
        <v>4.79</v>
      </c>
      <c r="H18" s="1">
        <v>0.1148</v>
      </c>
      <c r="I18">
        <v>78</v>
      </c>
      <c r="J18" t="str">
        <f t="shared" si="1"/>
        <v>431A.psd</v>
      </c>
      <c r="O18" t="s">
        <v>186</v>
      </c>
      <c r="P18" t="s">
        <v>183</v>
      </c>
    </row>
    <row r="19" spans="1:16" x14ac:dyDescent="0.25">
      <c r="A19">
        <v>18</v>
      </c>
      <c r="C19" s="3">
        <v>324</v>
      </c>
      <c r="D19" t="s">
        <v>18</v>
      </c>
      <c r="E19">
        <v>1667</v>
      </c>
      <c r="F19">
        <v>5.25</v>
      </c>
      <c r="G19">
        <v>5.69</v>
      </c>
      <c r="H19" s="1">
        <v>7.7299999999999994E-2</v>
      </c>
      <c r="I19">
        <v>72</v>
      </c>
      <c r="J19" t="str">
        <f t="shared" si="1"/>
        <v>324.psd</v>
      </c>
      <c r="O19" t="s">
        <v>187</v>
      </c>
      <c r="P19" t="s">
        <v>183</v>
      </c>
    </row>
    <row r="20" spans="1:16" x14ac:dyDescent="0.25">
      <c r="A20">
        <v>19</v>
      </c>
      <c r="C20" s="3">
        <v>131</v>
      </c>
      <c r="D20" t="s">
        <v>13</v>
      </c>
      <c r="E20">
        <v>1501</v>
      </c>
      <c r="F20">
        <v>7.85</v>
      </c>
      <c r="G20">
        <v>8.59</v>
      </c>
      <c r="H20" s="1">
        <v>8.6099999999999996E-2</v>
      </c>
      <c r="I20">
        <v>74</v>
      </c>
      <c r="J20" t="str">
        <f t="shared" si="1"/>
        <v>131.psd</v>
      </c>
      <c r="O20" t="s">
        <v>188</v>
      </c>
      <c r="P20" t="s">
        <v>183</v>
      </c>
    </row>
    <row r="21" spans="1:16" x14ac:dyDescent="0.25">
      <c r="A21">
        <v>20</v>
      </c>
      <c r="C21" s="3" t="s">
        <v>23</v>
      </c>
      <c r="D21" t="s">
        <v>24</v>
      </c>
      <c r="E21">
        <v>1271</v>
      </c>
      <c r="F21">
        <v>1</v>
      </c>
      <c r="G21">
        <v>1.49</v>
      </c>
      <c r="H21" s="1">
        <v>0.33019999999999999</v>
      </c>
      <c r="I21">
        <v>8</v>
      </c>
      <c r="J21" t="str">
        <f t="shared" si="1"/>
        <v>182L.psd</v>
      </c>
      <c r="O21" t="s">
        <v>189</v>
      </c>
      <c r="P21" t="s">
        <v>183</v>
      </c>
    </row>
    <row r="22" spans="1:16" x14ac:dyDescent="0.25">
      <c r="A22">
        <v>21</v>
      </c>
      <c r="C22" s="3">
        <v>323</v>
      </c>
      <c r="D22" t="s">
        <v>14</v>
      </c>
      <c r="E22">
        <v>2290</v>
      </c>
      <c r="F22">
        <v>4.99</v>
      </c>
      <c r="G22">
        <v>5.59</v>
      </c>
      <c r="H22" s="1">
        <v>0.10730000000000001</v>
      </c>
      <c r="I22">
        <v>60</v>
      </c>
      <c r="J22" t="str">
        <f t="shared" si="1"/>
        <v>323.psd</v>
      </c>
    </row>
    <row r="23" spans="1:16" x14ac:dyDescent="0.25">
      <c r="A23">
        <v>22</v>
      </c>
      <c r="C23" s="3" t="s">
        <v>19</v>
      </c>
      <c r="D23" t="s">
        <v>20</v>
      </c>
      <c r="E23">
        <v>1455</v>
      </c>
      <c r="F23">
        <v>11.99</v>
      </c>
      <c r="G23">
        <v>12.99</v>
      </c>
      <c r="H23" s="1">
        <v>7.6999999999999999E-2</v>
      </c>
      <c r="I23">
        <v>60</v>
      </c>
      <c r="J23" t="str">
        <f t="shared" si="1"/>
        <v>234H.psd</v>
      </c>
    </row>
    <row r="24" spans="1:16" x14ac:dyDescent="0.25">
      <c r="A24">
        <v>23</v>
      </c>
      <c r="C24" s="3" t="s">
        <v>21</v>
      </c>
      <c r="D24" t="s">
        <v>22</v>
      </c>
      <c r="E24">
        <v>1440</v>
      </c>
      <c r="F24">
        <v>5.6</v>
      </c>
      <c r="G24">
        <v>6.5</v>
      </c>
      <c r="H24" s="1">
        <v>0.13850000000000001</v>
      </c>
      <c r="I24">
        <v>25</v>
      </c>
      <c r="J24" t="str">
        <f t="shared" si="1"/>
        <v>229S.psd</v>
      </c>
    </row>
    <row r="25" spans="1:16" x14ac:dyDescent="0.25">
      <c r="A25">
        <v>24</v>
      </c>
      <c r="C25" s="3">
        <v>330</v>
      </c>
      <c r="D25" t="s">
        <v>25</v>
      </c>
      <c r="E25">
        <v>1157</v>
      </c>
      <c r="F25">
        <v>2.46</v>
      </c>
      <c r="G25">
        <v>2.4900000000000002</v>
      </c>
      <c r="H25" s="1">
        <v>1.2E-2</v>
      </c>
      <c r="I25">
        <v>35</v>
      </c>
      <c r="J25" t="str">
        <f t="shared" si="1"/>
        <v>330.psd</v>
      </c>
    </row>
    <row r="26" spans="1:16" x14ac:dyDescent="0.25">
      <c r="A26">
        <v>25</v>
      </c>
      <c r="C26" s="3">
        <v>183</v>
      </c>
      <c r="D26" t="s">
        <v>15</v>
      </c>
      <c r="E26">
        <v>1140</v>
      </c>
      <c r="F26">
        <v>2.85</v>
      </c>
      <c r="G26">
        <v>3.49</v>
      </c>
      <c r="H26" s="1">
        <v>0.18340000000000001</v>
      </c>
      <c r="I26">
        <v>3</v>
      </c>
      <c r="J26" t="str">
        <f t="shared" si="1"/>
        <v>183.psd</v>
      </c>
    </row>
    <row r="27" spans="1:16" x14ac:dyDescent="0.25">
      <c r="A27">
        <v>26</v>
      </c>
      <c r="C27" s="3">
        <v>522</v>
      </c>
      <c r="D27" t="s">
        <v>26</v>
      </c>
      <c r="E27">
        <v>1111</v>
      </c>
      <c r="F27">
        <v>4.49</v>
      </c>
      <c r="G27">
        <v>4.99</v>
      </c>
      <c r="H27" s="1">
        <v>0.1002</v>
      </c>
      <c r="I27">
        <v>78</v>
      </c>
      <c r="J27" t="str">
        <f t="shared" si="1"/>
        <v>522.psd</v>
      </c>
    </row>
    <row r="28" spans="1:16" x14ac:dyDescent="0.25">
      <c r="A28">
        <v>27</v>
      </c>
      <c r="C28" s="3" t="s">
        <v>27</v>
      </c>
      <c r="D28" t="s">
        <v>28</v>
      </c>
      <c r="E28">
        <v>1090</v>
      </c>
      <c r="F28">
        <v>5.89</v>
      </c>
      <c r="G28">
        <v>6.49</v>
      </c>
      <c r="H28" s="1">
        <v>9.2399999999999996E-2</v>
      </c>
      <c r="I28">
        <v>72</v>
      </c>
      <c r="J28" t="str">
        <f t="shared" si="1"/>
        <v>325M.psd</v>
      </c>
    </row>
    <row r="29" spans="1:16" x14ac:dyDescent="0.25">
      <c r="A29">
        <v>28</v>
      </c>
      <c r="C29" s="3">
        <v>88</v>
      </c>
      <c r="D29" t="s">
        <v>30</v>
      </c>
      <c r="E29">
        <v>984</v>
      </c>
      <c r="F29">
        <v>6.95</v>
      </c>
      <c r="G29">
        <v>7.99</v>
      </c>
      <c r="H29" s="1">
        <v>0.13020000000000001</v>
      </c>
      <c r="I29">
        <v>74</v>
      </c>
      <c r="J29" t="str">
        <f t="shared" si="1"/>
        <v>88.psd</v>
      </c>
    </row>
    <row r="30" spans="1:16" x14ac:dyDescent="0.25">
      <c r="A30">
        <v>29</v>
      </c>
      <c r="C30" s="3" t="s">
        <v>31</v>
      </c>
      <c r="D30" t="s">
        <v>32</v>
      </c>
      <c r="E30">
        <v>973</v>
      </c>
      <c r="F30">
        <v>0.51</v>
      </c>
      <c r="G30">
        <v>0.56999999999999995</v>
      </c>
      <c r="H30" s="1">
        <v>0.1053</v>
      </c>
      <c r="I30">
        <v>25</v>
      </c>
      <c r="J30" t="str">
        <f t="shared" si="1"/>
        <v>229F.psd</v>
      </c>
    </row>
    <row r="31" spans="1:16" x14ac:dyDescent="0.25">
      <c r="A31">
        <v>30</v>
      </c>
      <c r="C31" s="3" t="s">
        <v>35</v>
      </c>
      <c r="D31" t="s">
        <v>36</v>
      </c>
      <c r="E31">
        <v>903</v>
      </c>
      <c r="F31">
        <v>0.55000000000000004</v>
      </c>
      <c r="G31">
        <v>0.65</v>
      </c>
      <c r="H31" s="1">
        <v>0.15379999999999999</v>
      </c>
      <c r="I31">
        <v>25</v>
      </c>
      <c r="J31" t="str">
        <f t="shared" si="1"/>
        <v>229FR.psd</v>
      </c>
    </row>
    <row r="32" spans="1:16" x14ac:dyDescent="0.25">
      <c r="A32">
        <v>31</v>
      </c>
      <c r="C32" s="3" t="s">
        <v>37</v>
      </c>
      <c r="D32" t="s">
        <v>38</v>
      </c>
      <c r="E32">
        <v>860</v>
      </c>
      <c r="F32">
        <v>0.59</v>
      </c>
      <c r="G32">
        <v>0.65</v>
      </c>
      <c r="H32" s="1">
        <v>9.2299999999999993E-2</v>
      </c>
      <c r="I32">
        <v>21</v>
      </c>
      <c r="J32" t="str">
        <f t="shared" si="1"/>
        <v>429BX.psd</v>
      </c>
    </row>
    <row r="33" spans="1:10" x14ac:dyDescent="0.25">
      <c r="A33">
        <v>32</v>
      </c>
      <c r="C33" s="3" t="s">
        <v>174</v>
      </c>
      <c r="D33" t="s">
        <v>193</v>
      </c>
      <c r="E33">
        <v>844</v>
      </c>
      <c r="F33">
        <v>1.0900000000000001</v>
      </c>
      <c r="G33">
        <v>1.39</v>
      </c>
      <c r="H33" s="1">
        <v>0.21579999999999999</v>
      </c>
      <c r="I33">
        <v>5</v>
      </c>
      <c r="J33" t="str">
        <f t="shared" si="1"/>
        <v>ANGSET21.psd</v>
      </c>
    </row>
    <row r="34" spans="1:10" x14ac:dyDescent="0.25">
      <c r="A34">
        <v>33</v>
      </c>
      <c r="C34" s="3" t="s">
        <v>39</v>
      </c>
      <c r="D34" t="s">
        <v>40</v>
      </c>
      <c r="E34">
        <v>763</v>
      </c>
      <c r="F34">
        <v>21.24</v>
      </c>
      <c r="G34">
        <v>23.99</v>
      </c>
      <c r="H34" s="1">
        <v>0.11459999999999999</v>
      </c>
      <c r="I34">
        <v>55</v>
      </c>
      <c r="J34" t="str">
        <f t="shared" si="1"/>
        <v>217B.psd</v>
      </c>
    </row>
    <row r="35" spans="1:10" s="6" customFormat="1" x14ac:dyDescent="0.25">
      <c r="A35">
        <v>34</v>
      </c>
      <c r="C35" s="7" t="s">
        <v>41</v>
      </c>
      <c r="D35" s="6" t="s">
        <v>42</v>
      </c>
      <c r="E35" s="6">
        <v>740</v>
      </c>
      <c r="F35" s="6">
        <v>19.350000000000001</v>
      </c>
      <c r="G35" s="6">
        <v>20.49</v>
      </c>
      <c r="H35" s="8">
        <v>5.5599999999999997E-2</v>
      </c>
      <c r="I35" s="6">
        <v>71</v>
      </c>
      <c r="J35" s="6" t="str">
        <f t="shared" si="1"/>
        <v>213J.psd</v>
      </c>
    </row>
    <row r="36" spans="1:10" x14ac:dyDescent="0.25">
      <c r="A36">
        <v>35</v>
      </c>
      <c r="C36" s="3">
        <v>325</v>
      </c>
      <c r="D36" t="s">
        <v>43</v>
      </c>
      <c r="E36">
        <v>699</v>
      </c>
      <c r="F36">
        <v>4.5</v>
      </c>
      <c r="G36">
        <v>4.99</v>
      </c>
      <c r="H36" s="1">
        <v>9.8199999999999996E-2</v>
      </c>
      <c r="I36">
        <v>72</v>
      </c>
      <c r="J36" t="str">
        <f t="shared" si="1"/>
        <v>325.psd</v>
      </c>
    </row>
    <row r="37" spans="1:10" x14ac:dyDescent="0.25">
      <c r="A37">
        <v>36</v>
      </c>
      <c r="C37" s="3" t="s">
        <v>45</v>
      </c>
      <c r="D37" t="s">
        <v>46</v>
      </c>
      <c r="E37">
        <v>679</v>
      </c>
      <c r="F37">
        <v>10</v>
      </c>
      <c r="G37">
        <v>11.49</v>
      </c>
      <c r="H37" s="1">
        <v>0.12970000000000001</v>
      </c>
      <c r="I37">
        <v>59</v>
      </c>
      <c r="J37" t="str">
        <f t="shared" si="1"/>
        <v>242B.psd</v>
      </c>
    </row>
    <row r="38" spans="1:10" x14ac:dyDescent="0.25">
      <c r="A38">
        <v>37</v>
      </c>
      <c r="C38" s="3">
        <v>1022</v>
      </c>
      <c r="D38" t="s">
        <v>48</v>
      </c>
      <c r="E38">
        <v>654</v>
      </c>
      <c r="F38">
        <v>18.79</v>
      </c>
      <c r="G38">
        <v>20.94</v>
      </c>
      <c r="H38" s="1">
        <v>0.1027</v>
      </c>
      <c r="I38">
        <v>52</v>
      </c>
      <c r="J38" t="str">
        <f t="shared" si="1"/>
        <v>1022.psd</v>
      </c>
    </row>
    <row r="39" spans="1:10" x14ac:dyDescent="0.25">
      <c r="A39">
        <v>38</v>
      </c>
      <c r="C39" s="3">
        <v>133</v>
      </c>
      <c r="D39" t="s">
        <v>47</v>
      </c>
      <c r="E39">
        <v>653</v>
      </c>
      <c r="F39">
        <v>5.49</v>
      </c>
      <c r="G39">
        <v>6.03</v>
      </c>
      <c r="H39" s="1">
        <v>8.9599999999999999E-2</v>
      </c>
      <c r="I39">
        <v>74</v>
      </c>
      <c r="J39" t="str">
        <f t="shared" si="1"/>
        <v>133.psd</v>
      </c>
    </row>
    <row r="40" spans="1:10" x14ac:dyDescent="0.25">
      <c r="A40">
        <v>39</v>
      </c>
      <c r="C40" s="3">
        <v>706</v>
      </c>
      <c r="D40" t="s">
        <v>49</v>
      </c>
      <c r="E40">
        <v>650</v>
      </c>
      <c r="F40">
        <v>0.98</v>
      </c>
      <c r="G40">
        <v>1.0900000000000001</v>
      </c>
      <c r="H40" s="1">
        <v>0.1055</v>
      </c>
      <c r="I40">
        <v>4</v>
      </c>
      <c r="J40" t="str">
        <f t="shared" si="1"/>
        <v>706.psd</v>
      </c>
    </row>
    <row r="41" spans="1:10" x14ac:dyDescent="0.25">
      <c r="A41">
        <v>40</v>
      </c>
      <c r="C41" s="3" t="s">
        <v>50</v>
      </c>
      <c r="D41" t="s">
        <v>51</v>
      </c>
      <c r="E41">
        <v>636</v>
      </c>
      <c r="F41">
        <v>9</v>
      </c>
      <c r="G41">
        <v>10.49</v>
      </c>
      <c r="H41" s="1">
        <v>0.14199999999999999</v>
      </c>
      <c r="I41">
        <v>59</v>
      </c>
      <c r="J41" t="str">
        <f t="shared" si="1"/>
        <v>105F.psd</v>
      </c>
    </row>
    <row r="42" spans="1:10" x14ac:dyDescent="0.25">
      <c r="A42">
        <v>41</v>
      </c>
      <c r="C42" s="3" t="s">
        <v>52</v>
      </c>
      <c r="D42" t="s">
        <v>53</v>
      </c>
      <c r="E42">
        <v>591</v>
      </c>
      <c r="F42">
        <v>1.25</v>
      </c>
      <c r="G42">
        <v>1.49</v>
      </c>
      <c r="H42" s="1">
        <v>0.16109999999999999</v>
      </c>
      <c r="I42">
        <v>7</v>
      </c>
      <c r="J42" t="str">
        <f t="shared" si="1"/>
        <v>408B.psd</v>
      </c>
    </row>
    <row r="43" spans="1:10" x14ac:dyDescent="0.25">
      <c r="A43">
        <v>42</v>
      </c>
      <c r="C43" s="3">
        <v>405</v>
      </c>
      <c r="D43" t="s">
        <v>58</v>
      </c>
      <c r="E43">
        <v>567</v>
      </c>
      <c r="F43">
        <v>5.84</v>
      </c>
      <c r="G43">
        <v>6.99</v>
      </c>
      <c r="H43" s="1">
        <v>0.16450000000000001</v>
      </c>
      <c r="I43">
        <v>23</v>
      </c>
      <c r="J43" t="str">
        <f t="shared" si="1"/>
        <v>405.psd</v>
      </c>
    </row>
    <row r="44" spans="1:10" x14ac:dyDescent="0.25">
      <c r="A44">
        <v>43</v>
      </c>
      <c r="C44" s="3" t="s">
        <v>56</v>
      </c>
      <c r="D44" t="s">
        <v>57</v>
      </c>
      <c r="E44">
        <v>565</v>
      </c>
      <c r="F44">
        <v>3.63</v>
      </c>
      <c r="G44">
        <v>3.99</v>
      </c>
      <c r="H44" s="1">
        <v>9.1499999999999998E-2</v>
      </c>
      <c r="I44">
        <v>72</v>
      </c>
      <c r="J44" t="str">
        <f t="shared" si="1"/>
        <v>324B.psd</v>
      </c>
    </row>
    <row r="45" spans="1:10" x14ac:dyDescent="0.25">
      <c r="A45">
        <v>44</v>
      </c>
      <c r="C45" s="3" t="s">
        <v>59</v>
      </c>
      <c r="D45" t="s">
        <v>60</v>
      </c>
      <c r="E45">
        <v>532</v>
      </c>
      <c r="F45">
        <v>16.989999999999998</v>
      </c>
      <c r="G45">
        <v>18.989999999999998</v>
      </c>
      <c r="H45" s="1">
        <v>0.1053</v>
      </c>
      <c r="I45">
        <v>92</v>
      </c>
      <c r="J45" t="str">
        <f t="shared" si="1"/>
        <v>244DI.psd</v>
      </c>
    </row>
    <row r="46" spans="1:10" x14ac:dyDescent="0.25">
      <c r="A46">
        <v>45</v>
      </c>
      <c r="C46" s="3" t="s">
        <v>61</v>
      </c>
      <c r="D46" t="s">
        <v>62</v>
      </c>
      <c r="E46">
        <v>531</v>
      </c>
      <c r="F46">
        <v>7.99</v>
      </c>
      <c r="G46">
        <v>8.99</v>
      </c>
      <c r="H46" s="1">
        <v>0.11119999999999999</v>
      </c>
      <c r="I46">
        <v>74</v>
      </c>
      <c r="J46" t="str">
        <f t="shared" si="1"/>
        <v>88W.psd</v>
      </c>
    </row>
    <row r="47" spans="1:10" x14ac:dyDescent="0.25">
      <c r="A47">
        <v>46</v>
      </c>
      <c r="C47" s="3">
        <v>100</v>
      </c>
      <c r="D47" t="s">
        <v>93</v>
      </c>
      <c r="E47">
        <v>531</v>
      </c>
      <c r="F47">
        <v>4.8499999999999996</v>
      </c>
      <c r="G47">
        <v>5.46</v>
      </c>
      <c r="H47" s="1">
        <v>0.11169999999999999</v>
      </c>
      <c r="I47">
        <v>94</v>
      </c>
      <c r="J47" t="str">
        <f t="shared" si="1"/>
        <v>100.psd</v>
      </c>
    </row>
    <row r="48" spans="1:10" x14ac:dyDescent="0.25">
      <c r="A48">
        <v>47</v>
      </c>
      <c r="C48" s="3" t="s">
        <v>63</v>
      </c>
      <c r="D48" t="s">
        <v>64</v>
      </c>
      <c r="E48">
        <v>524</v>
      </c>
      <c r="F48">
        <v>5.45</v>
      </c>
      <c r="G48">
        <v>5.79</v>
      </c>
      <c r="H48" s="1">
        <v>5.8200000000000002E-2</v>
      </c>
      <c r="I48">
        <v>58</v>
      </c>
      <c r="J48" t="str">
        <f t="shared" si="1"/>
        <v>467ST.psd</v>
      </c>
    </row>
    <row r="49" spans="1:10" x14ac:dyDescent="0.25">
      <c r="A49">
        <v>48</v>
      </c>
      <c r="C49" s="3">
        <v>275</v>
      </c>
      <c r="D49" t="s">
        <v>65</v>
      </c>
      <c r="E49">
        <v>521</v>
      </c>
      <c r="F49">
        <v>2.72</v>
      </c>
      <c r="G49">
        <v>2.99</v>
      </c>
      <c r="H49" s="1">
        <v>9.1600000000000001E-2</v>
      </c>
      <c r="I49">
        <v>6</v>
      </c>
      <c r="J49" t="str">
        <f t="shared" si="1"/>
        <v>275.psd</v>
      </c>
    </row>
    <row r="50" spans="1:10" x14ac:dyDescent="0.25">
      <c r="A50">
        <v>49</v>
      </c>
      <c r="C50" s="3">
        <v>15501</v>
      </c>
      <c r="D50" t="s">
        <v>66</v>
      </c>
      <c r="E50">
        <v>511</v>
      </c>
      <c r="F50">
        <v>8.49</v>
      </c>
      <c r="G50">
        <v>8.99</v>
      </c>
      <c r="H50" s="1">
        <v>5.5599999999999997E-2</v>
      </c>
      <c r="I50">
        <v>36</v>
      </c>
      <c r="J50" t="str">
        <f t="shared" si="1"/>
        <v>15501.psd</v>
      </c>
    </row>
    <row r="51" spans="1:10" x14ac:dyDescent="0.25">
      <c r="A51">
        <v>50</v>
      </c>
      <c r="C51" t="s">
        <v>172</v>
      </c>
      <c r="D51" t="s">
        <v>194</v>
      </c>
      <c r="E51">
        <v>490</v>
      </c>
      <c r="F51">
        <v>3.9</v>
      </c>
      <c r="G51">
        <v>4.49</v>
      </c>
      <c r="H51" s="1">
        <v>0.13139999999999999</v>
      </c>
      <c r="I51">
        <v>5</v>
      </c>
      <c r="J51" t="str">
        <f t="shared" si="1"/>
        <v>ANGSET20.psd</v>
      </c>
    </row>
    <row r="52" spans="1:10" x14ac:dyDescent="0.25">
      <c r="A52">
        <v>51</v>
      </c>
      <c r="C52" s="3" t="s">
        <v>67</v>
      </c>
      <c r="D52" t="s">
        <v>68</v>
      </c>
      <c r="E52">
        <v>489</v>
      </c>
      <c r="F52">
        <v>11.02</v>
      </c>
      <c r="G52">
        <v>12.49</v>
      </c>
      <c r="H52" s="1">
        <v>0.1177</v>
      </c>
      <c r="I52">
        <v>58</v>
      </c>
      <c r="J52" t="str">
        <f t="shared" si="1"/>
        <v>467GE.psd</v>
      </c>
    </row>
    <row r="53" spans="1:10" x14ac:dyDescent="0.25">
      <c r="A53">
        <v>52</v>
      </c>
      <c r="C53" s="3" t="s">
        <v>69</v>
      </c>
      <c r="D53" t="s">
        <v>70</v>
      </c>
      <c r="E53">
        <v>486</v>
      </c>
      <c r="F53">
        <v>8.99</v>
      </c>
      <c r="G53">
        <v>9.99</v>
      </c>
      <c r="H53" s="1">
        <v>0.10009999999999999</v>
      </c>
      <c r="I53">
        <v>5</v>
      </c>
      <c r="J53" t="str">
        <f t="shared" si="1"/>
        <v>252W.psd</v>
      </c>
    </row>
    <row r="54" spans="1:10" x14ac:dyDescent="0.25">
      <c r="A54">
        <v>53</v>
      </c>
      <c r="C54" s="3" t="s">
        <v>71</v>
      </c>
      <c r="D54" t="s">
        <v>72</v>
      </c>
      <c r="E54">
        <v>481</v>
      </c>
      <c r="F54">
        <v>3.29</v>
      </c>
      <c r="G54">
        <v>3.99</v>
      </c>
      <c r="H54" s="1">
        <v>0.1754</v>
      </c>
      <c r="I54">
        <v>72</v>
      </c>
      <c r="J54" t="str">
        <f t="shared" si="1"/>
        <v>281B.psd</v>
      </c>
    </row>
    <row r="55" spans="1:10" x14ac:dyDescent="0.25">
      <c r="A55">
        <v>54</v>
      </c>
      <c r="C55" s="3" t="s">
        <v>74</v>
      </c>
      <c r="D55" t="s">
        <v>75</v>
      </c>
      <c r="E55">
        <v>478</v>
      </c>
      <c r="F55">
        <v>6.55</v>
      </c>
      <c r="G55">
        <v>7.99</v>
      </c>
      <c r="H55" s="1">
        <v>0.1802</v>
      </c>
      <c r="I55">
        <v>90</v>
      </c>
      <c r="J55" t="str">
        <f t="shared" si="1"/>
        <v>111B.psd</v>
      </c>
    </row>
    <row r="56" spans="1:10" x14ac:dyDescent="0.25">
      <c r="A56">
        <v>55</v>
      </c>
      <c r="C56" s="3">
        <v>319</v>
      </c>
      <c r="D56" t="s">
        <v>73</v>
      </c>
      <c r="E56">
        <v>477</v>
      </c>
      <c r="F56">
        <v>9.69</v>
      </c>
      <c r="G56">
        <v>10.69</v>
      </c>
      <c r="H56" s="1">
        <v>9.35E-2</v>
      </c>
      <c r="I56">
        <v>55</v>
      </c>
      <c r="J56" t="str">
        <f t="shared" si="1"/>
        <v>319.psd</v>
      </c>
    </row>
    <row r="57" spans="1:10" x14ac:dyDescent="0.25">
      <c r="A57">
        <v>56</v>
      </c>
      <c r="C57" s="3" t="s">
        <v>94</v>
      </c>
      <c r="D57" t="s">
        <v>95</v>
      </c>
      <c r="E57">
        <v>473</v>
      </c>
      <c r="F57">
        <v>11.39</v>
      </c>
      <c r="G57">
        <v>12.49</v>
      </c>
      <c r="H57" s="1">
        <v>8.8099999999999998E-2</v>
      </c>
      <c r="I57">
        <v>55</v>
      </c>
      <c r="J57" t="str">
        <f t="shared" si="1"/>
        <v>693S.psd</v>
      </c>
    </row>
    <row r="58" spans="1:10" x14ac:dyDescent="0.25">
      <c r="A58">
        <v>57</v>
      </c>
      <c r="C58" s="3" t="s">
        <v>96</v>
      </c>
      <c r="D58" t="s">
        <v>97</v>
      </c>
      <c r="E58">
        <v>457</v>
      </c>
      <c r="F58">
        <v>6.29</v>
      </c>
      <c r="G58">
        <v>6.49</v>
      </c>
      <c r="H58" s="1">
        <v>3.0800000000000001E-2</v>
      </c>
      <c r="I58">
        <v>55</v>
      </c>
      <c r="J58" t="str">
        <f t="shared" si="1"/>
        <v>217C.psd</v>
      </c>
    </row>
    <row r="59" spans="1:10" x14ac:dyDescent="0.25">
      <c r="A59">
        <v>58</v>
      </c>
      <c r="C59" s="3" t="s">
        <v>98</v>
      </c>
      <c r="D59" t="s">
        <v>99</v>
      </c>
      <c r="E59">
        <v>454</v>
      </c>
      <c r="F59">
        <v>1.65</v>
      </c>
      <c r="G59">
        <v>1.99</v>
      </c>
      <c r="H59" s="1">
        <v>0.1709</v>
      </c>
      <c r="I59">
        <v>7</v>
      </c>
      <c r="J59" t="str">
        <f t="shared" si="1"/>
        <v>51B.psd</v>
      </c>
    </row>
    <row r="60" spans="1:10" x14ac:dyDescent="0.25">
      <c r="A60">
        <v>59</v>
      </c>
      <c r="C60" s="3">
        <v>365</v>
      </c>
      <c r="D60" t="s">
        <v>100</v>
      </c>
      <c r="E60">
        <v>453</v>
      </c>
      <c r="F60">
        <v>0.95</v>
      </c>
      <c r="G60">
        <v>0.89</v>
      </c>
      <c r="H60" s="1">
        <v>-6.7400000000000002E-2</v>
      </c>
      <c r="I60">
        <v>21</v>
      </c>
      <c r="J60" t="str">
        <f t="shared" si="1"/>
        <v>365.psd</v>
      </c>
    </row>
    <row r="61" spans="1:10" x14ac:dyDescent="0.25">
      <c r="A61">
        <v>60</v>
      </c>
      <c r="C61" s="3" t="s">
        <v>101</v>
      </c>
      <c r="D61" t="s">
        <v>102</v>
      </c>
      <c r="E61">
        <v>449</v>
      </c>
      <c r="F61">
        <v>10.69</v>
      </c>
      <c r="G61">
        <v>11.99</v>
      </c>
      <c r="H61" s="1">
        <v>0.1084</v>
      </c>
      <c r="I61">
        <v>58</v>
      </c>
      <c r="J61" t="str">
        <f t="shared" si="1"/>
        <v>350F.psd</v>
      </c>
    </row>
    <row r="62" spans="1:10" x14ac:dyDescent="0.25">
      <c r="A62">
        <v>61</v>
      </c>
      <c r="C62" s="3">
        <v>113</v>
      </c>
      <c r="D62" t="s">
        <v>103</v>
      </c>
      <c r="E62">
        <v>433</v>
      </c>
      <c r="F62">
        <v>5.79</v>
      </c>
      <c r="G62">
        <v>6.59</v>
      </c>
      <c r="H62" s="1">
        <v>0.12139999999999999</v>
      </c>
      <c r="I62">
        <v>44</v>
      </c>
      <c r="J62" t="str">
        <f t="shared" si="1"/>
        <v>113.psd</v>
      </c>
    </row>
    <row r="63" spans="1:10" x14ac:dyDescent="0.25">
      <c r="A63">
        <v>62</v>
      </c>
      <c r="C63" s="3">
        <v>619</v>
      </c>
      <c r="D63" t="s">
        <v>104</v>
      </c>
      <c r="E63">
        <v>427</v>
      </c>
      <c r="F63">
        <v>2.79</v>
      </c>
      <c r="G63">
        <v>2.99</v>
      </c>
      <c r="H63" s="1">
        <v>6.6900000000000001E-2</v>
      </c>
      <c r="I63">
        <v>34</v>
      </c>
      <c r="J63" t="str">
        <f t="shared" si="1"/>
        <v>619.psd</v>
      </c>
    </row>
    <row r="64" spans="1:10" x14ac:dyDescent="0.25">
      <c r="A64">
        <v>63</v>
      </c>
      <c r="C64" s="3">
        <v>129</v>
      </c>
      <c r="D64" t="s">
        <v>105</v>
      </c>
      <c r="E64">
        <v>419</v>
      </c>
      <c r="F64">
        <v>4.59</v>
      </c>
      <c r="G64">
        <v>4.99</v>
      </c>
      <c r="H64" s="1">
        <v>8.0199999999999994E-2</v>
      </c>
      <c r="I64">
        <v>44</v>
      </c>
      <c r="J64" t="str">
        <f t="shared" si="1"/>
        <v>129.psd</v>
      </c>
    </row>
    <row r="65" spans="1:10" x14ac:dyDescent="0.25">
      <c r="A65">
        <v>64</v>
      </c>
      <c r="C65" s="3" t="s">
        <v>106</v>
      </c>
      <c r="D65" t="s">
        <v>107</v>
      </c>
      <c r="E65">
        <v>414</v>
      </c>
      <c r="F65">
        <v>7.26</v>
      </c>
      <c r="G65">
        <v>7.89</v>
      </c>
      <c r="H65" s="1">
        <v>8.0399999999999999E-2</v>
      </c>
      <c r="I65">
        <v>6</v>
      </c>
      <c r="J65" t="str">
        <f t="shared" si="1"/>
        <v>185K2.psd</v>
      </c>
    </row>
    <row r="66" spans="1:10" x14ac:dyDescent="0.25">
      <c r="A66">
        <v>65</v>
      </c>
      <c r="C66" s="3" t="s">
        <v>108</v>
      </c>
      <c r="D66" t="s">
        <v>109</v>
      </c>
      <c r="E66">
        <v>403</v>
      </c>
      <c r="F66">
        <v>7.49</v>
      </c>
      <c r="G66">
        <v>8.49</v>
      </c>
      <c r="H66" s="1">
        <v>0.1178</v>
      </c>
      <c r="I66">
        <v>55</v>
      </c>
      <c r="J66" t="str">
        <f t="shared" si="1"/>
        <v>119HJ.psd</v>
      </c>
    </row>
    <row r="67" spans="1:10" x14ac:dyDescent="0.25">
      <c r="A67">
        <v>66</v>
      </c>
      <c r="C67" s="3">
        <v>149</v>
      </c>
      <c r="D67" t="s">
        <v>110</v>
      </c>
      <c r="E67">
        <v>400</v>
      </c>
      <c r="F67">
        <v>16.489999999999998</v>
      </c>
      <c r="G67">
        <v>17.489999999999998</v>
      </c>
      <c r="H67" s="1">
        <v>5.7200000000000001E-2</v>
      </c>
      <c r="I67">
        <v>32</v>
      </c>
      <c r="J67" t="str">
        <f t="shared" si="1"/>
        <v>149.psd</v>
      </c>
    </row>
    <row r="68" spans="1:10" x14ac:dyDescent="0.25">
      <c r="A68">
        <v>67</v>
      </c>
      <c r="C68" s="3">
        <v>396</v>
      </c>
      <c r="D68" t="s">
        <v>111</v>
      </c>
      <c r="E68">
        <v>388</v>
      </c>
      <c r="F68">
        <v>4.8899999999999997</v>
      </c>
      <c r="G68">
        <v>5.49</v>
      </c>
      <c r="H68" s="1">
        <v>0.10929999999999999</v>
      </c>
      <c r="I68">
        <v>30</v>
      </c>
      <c r="J68" t="str">
        <f t="shared" si="1"/>
        <v>396.psd</v>
      </c>
    </row>
    <row r="69" spans="1:10" x14ac:dyDescent="0.25">
      <c r="A69">
        <v>68</v>
      </c>
      <c r="C69" s="3" t="s">
        <v>112</v>
      </c>
      <c r="D69" t="s">
        <v>113</v>
      </c>
      <c r="E69">
        <v>387</v>
      </c>
      <c r="F69">
        <v>0.95</v>
      </c>
      <c r="G69">
        <v>0.89</v>
      </c>
      <c r="H69" s="1">
        <v>-6.7400000000000002E-2</v>
      </c>
      <c r="I69">
        <v>21</v>
      </c>
      <c r="J69" t="str">
        <f t="shared" si="1"/>
        <v>341C.psd</v>
      </c>
    </row>
    <row r="70" spans="1:10" x14ac:dyDescent="0.25">
      <c r="A70">
        <v>69</v>
      </c>
      <c r="C70" t="s">
        <v>180</v>
      </c>
      <c r="D70" t="s">
        <v>195</v>
      </c>
      <c r="E70">
        <v>378</v>
      </c>
      <c r="F70">
        <v>17.25</v>
      </c>
      <c r="G70">
        <v>17.989999999999998</v>
      </c>
      <c r="H70" s="1">
        <v>4.1099999999999998E-2</v>
      </c>
      <c r="I70">
        <v>71</v>
      </c>
      <c r="J70" t="str">
        <f t="shared" si="1"/>
        <v>ANGSET25.psd</v>
      </c>
    </row>
    <row r="71" spans="1:10" x14ac:dyDescent="0.25">
      <c r="A71">
        <v>70</v>
      </c>
      <c r="C71" s="3" t="s">
        <v>182</v>
      </c>
      <c r="D71" t="s">
        <v>196</v>
      </c>
      <c r="E71">
        <v>373</v>
      </c>
      <c r="F71">
        <v>13.45</v>
      </c>
      <c r="G71">
        <v>14.99</v>
      </c>
      <c r="H71" s="1">
        <v>0.1027</v>
      </c>
      <c r="I71">
        <v>73</v>
      </c>
      <c r="J71" t="str">
        <f t="shared" si="1"/>
        <v>ANGSET29.psd</v>
      </c>
    </row>
    <row r="72" spans="1:10" x14ac:dyDescent="0.25">
      <c r="A72">
        <v>71</v>
      </c>
      <c r="C72" s="3" t="s">
        <v>114</v>
      </c>
      <c r="D72" t="s">
        <v>115</v>
      </c>
      <c r="E72">
        <v>368</v>
      </c>
      <c r="F72">
        <v>8.1199999999999992</v>
      </c>
      <c r="G72">
        <v>9.49</v>
      </c>
      <c r="H72" s="1">
        <v>0.1449</v>
      </c>
      <c r="I72">
        <v>24</v>
      </c>
      <c r="J72" t="str">
        <f t="shared" si="1"/>
        <v>353B.psd</v>
      </c>
    </row>
    <row r="73" spans="1:10" x14ac:dyDescent="0.25">
      <c r="A73">
        <v>72</v>
      </c>
      <c r="C73" s="3" t="s">
        <v>116</v>
      </c>
      <c r="D73" t="s">
        <v>117</v>
      </c>
      <c r="E73">
        <v>363</v>
      </c>
      <c r="F73">
        <v>3.96</v>
      </c>
      <c r="G73">
        <v>4.49</v>
      </c>
      <c r="H73" s="1">
        <v>0.11849999999999999</v>
      </c>
      <c r="I73">
        <v>69</v>
      </c>
      <c r="J73" t="str">
        <f t="shared" ref="J73:J114" si="2">C73&amp;".psd"</f>
        <v>211S.psd</v>
      </c>
    </row>
    <row r="74" spans="1:10" x14ac:dyDescent="0.25">
      <c r="A74">
        <v>73</v>
      </c>
      <c r="C74" s="3" t="s">
        <v>118</v>
      </c>
      <c r="D74" t="s">
        <v>119</v>
      </c>
      <c r="E74">
        <v>351</v>
      </c>
      <c r="F74">
        <v>7.49</v>
      </c>
      <c r="G74">
        <v>7.99</v>
      </c>
      <c r="H74" s="1">
        <v>6.2600000000000003E-2</v>
      </c>
      <c r="I74">
        <v>50</v>
      </c>
      <c r="J74" t="str">
        <f t="shared" si="2"/>
        <v>115A.psd</v>
      </c>
    </row>
    <row r="75" spans="1:10" x14ac:dyDescent="0.25">
      <c r="A75">
        <v>74</v>
      </c>
      <c r="C75" s="3" t="s">
        <v>120</v>
      </c>
      <c r="D75" t="s">
        <v>121</v>
      </c>
      <c r="E75">
        <v>344</v>
      </c>
      <c r="F75">
        <v>4.32</v>
      </c>
      <c r="G75">
        <v>4.84</v>
      </c>
      <c r="H75" s="1">
        <v>0.1074</v>
      </c>
      <c r="I75">
        <v>5</v>
      </c>
      <c r="J75" t="str">
        <f t="shared" si="2"/>
        <v>204B.psd</v>
      </c>
    </row>
    <row r="76" spans="1:10" x14ac:dyDescent="0.25">
      <c r="A76">
        <v>75</v>
      </c>
      <c r="C76" s="3" t="s">
        <v>122</v>
      </c>
      <c r="D76" t="s">
        <v>123</v>
      </c>
      <c r="E76">
        <v>333</v>
      </c>
      <c r="F76">
        <v>13.45</v>
      </c>
      <c r="G76">
        <v>14.99</v>
      </c>
      <c r="H76" s="1">
        <v>0.1027</v>
      </c>
      <c r="I76">
        <v>73</v>
      </c>
      <c r="J76" t="str">
        <f t="shared" si="2"/>
        <v>0100B.psd</v>
      </c>
    </row>
    <row r="77" spans="1:10" x14ac:dyDescent="0.25">
      <c r="A77">
        <v>76</v>
      </c>
      <c r="C77" s="3" t="s">
        <v>124</v>
      </c>
      <c r="D77" t="s">
        <v>125</v>
      </c>
      <c r="E77">
        <v>332</v>
      </c>
      <c r="F77">
        <v>2.59</v>
      </c>
      <c r="G77">
        <v>2.69</v>
      </c>
      <c r="H77" s="1">
        <v>3.7199999999999997E-2</v>
      </c>
      <c r="I77">
        <v>94</v>
      </c>
      <c r="J77" t="str">
        <f t="shared" si="2"/>
        <v>102L.psd</v>
      </c>
    </row>
    <row r="78" spans="1:10" x14ac:dyDescent="0.25">
      <c r="A78">
        <v>77</v>
      </c>
      <c r="C78" s="3" t="s">
        <v>126</v>
      </c>
      <c r="D78" t="s">
        <v>127</v>
      </c>
      <c r="E78">
        <v>328</v>
      </c>
      <c r="F78">
        <v>1.92</v>
      </c>
      <c r="G78">
        <v>2.99</v>
      </c>
      <c r="H78" s="1">
        <v>0.3579</v>
      </c>
      <c r="I78">
        <v>4</v>
      </c>
      <c r="J78" t="str">
        <f t="shared" si="2"/>
        <v>199CA.psd</v>
      </c>
    </row>
    <row r="79" spans="1:10" x14ac:dyDescent="0.25">
      <c r="A79">
        <v>78</v>
      </c>
      <c r="C79" s="3" t="s">
        <v>128</v>
      </c>
      <c r="D79" t="s">
        <v>129</v>
      </c>
      <c r="E79">
        <v>327</v>
      </c>
      <c r="F79">
        <v>3.35</v>
      </c>
      <c r="G79">
        <v>3.99</v>
      </c>
      <c r="H79" s="1">
        <v>0.16039999999999999</v>
      </c>
      <c r="I79">
        <v>44</v>
      </c>
      <c r="J79" t="str">
        <f t="shared" si="2"/>
        <v>101L.psd</v>
      </c>
    </row>
    <row r="80" spans="1:10" x14ac:dyDescent="0.25">
      <c r="A80">
        <v>79</v>
      </c>
      <c r="C80" s="3" t="s">
        <v>130</v>
      </c>
      <c r="D80" t="s">
        <v>131</v>
      </c>
      <c r="E80">
        <v>326</v>
      </c>
      <c r="F80">
        <v>2.5499999999999998</v>
      </c>
      <c r="G80">
        <v>2.99</v>
      </c>
      <c r="H80" s="1">
        <v>0.1472</v>
      </c>
      <c r="I80">
        <v>7</v>
      </c>
      <c r="J80" t="str">
        <f t="shared" si="2"/>
        <v>310LATEX.psd</v>
      </c>
    </row>
    <row r="81" spans="1:10" x14ac:dyDescent="0.25">
      <c r="A81">
        <v>80</v>
      </c>
      <c r="C81" s="3">
        <v>109</v>
      </c>
      <c r="D81" t="s">
        <v>132</v>
      </c>
      <c r="E81">
        <v>325</v>
      </c>
      <c r="F81">
        <v>1.65</v>
      </c>
      <c r="G81">
        <v>1.89</v>
      </c>
      <c r="H81" s="1">
        <v>0.127</v>
      </c>
      <c r="I81">
        <v>44</v>
      </c>
      <c r="J81" t="str">
        <f t="shared" si="2"/>
        <v>109.psd</v>
      </c>
    </row>
    <row r="82" spans="1:10" x14ac:dyDescent="0.25">
      <c r="A82">
        <v>81</v>
      </c>
      <c r="C82" s="3" t="s">
        <v>133</v>
      </c>
      <c r="D82" t="s">
        <v>134</v>
      </c>
      <c r="E82">
        <v>323</v>
      </c>
      <c r="F82">
        <v>6.49</v>
      </c>
      <c r="G82">
        <v>7.22</v>
      </c>
      <c r="H82" s="1">
        <v>0.1011</v>
      </c>
      <c r="I82">
        <v>30</v>
      </c>
      <c r="J82" t="str">
        <f t="shared" si="2"/>
        <v>FU140.psd</v>
      </c>
    </row>
    <row r="83" spans="1:10" x14ac:dyDescent="0.25">
      <c r="A83">
        <v>82</v>
      </c>
      <c r="C83" s="3" t="s">
        <v>135</v>
      </c>
      <c r="D83" t="s">
        <v>136</v>
      </c>
      <c r="E83">
        <v>322</v>
      </c>
      <c r="F83">
        <v>8.8000000000000007</v>
      </c>
      <c r="G83">
        <v>9.67</v>
      </c>
      <c r="H83" s="1">
        <v>0.09</v>
      </c>
      <c r="I83">
        <v>40</v>
      </c>
      <c r="J83" t="str">
        <f t="shared" si="2"/>
        <v>156J.psd</v>
      </c>
    </row>
    <row r="84" spans="1:10" x14ac:dyDescent="0.25">
      <c r="A84">
        <v>83</v>
      </c>
      <c r="C84" s="3">
        <v>773</v>
      </c>
      <c r="D84" t="s">
        <v>137</v>
      </c>
      <c r="E84">
        <v>319</v>
      </c>
      <c r="F84">
        <v>6.99</v>
      </c>
      <c r="G84">
        <v>7.69</v>
      </c>
      <c r="H84" s="1">
        <v>9.0999999999999998E-2</v>
      </c>
      <c r="I84">
        <v>3</v>
      </c>
      <c r="J84" t="str">
        <f t="shared" si="2"/>
        <v>773.psd</v>
      </c>
    </row>
    <row r="85" spans="1:10" x14ac:dyDescent="0.25">
      <c r="A85">
        <v>84</v>
      </c>
      <c r="C85" s="3" t="s">
        <v>138</v>
      </c>
      <c r="D85" t="s">
        <v>139</v>
      </c>
      <c r="E85">
        <v>316</v>
      </c>
      <c r="F85">
        <v>4.49</v>
      </c>
      <c r="G85">
        <v>4.99</v>
      </c>
      <c r="H85" s="1">
        <v>0.1002</v>
      </c>
      <c r="I85">
        <v>42</v>
      </c>
      <c r="J85" t="str">
        <f t="shared" si="2"/>
        <v>45E.psd</v>
      </c>
    </row>
    <row r="86" spans="1:10" x14ac:dyDescent="0.25">
      <c r="A86">
        <v>85</v>
      </c>
      <c r="C86" s="3">
        <v>338</v>
      </c>
      <c r="D86" t="s">
        <v>140</v>
      </c>
      <c r="E86">
        <v>315</v>
      </c>
      <c r="F86">
        <v>3.29</v>
      </c>
      <c r="G86">
        <v>3.69</v>
      </c>
      <c r="H86" s="1">
        <v>0.1084</v>
      </c>
      <c r="I86">
        <v>21</v>
      </c>
      <c r="J86" t="str">
        <f t="shared" si="2"/>
        <v>338.psd</v>
      </c>
    </row>
    <row r="87" spans="1:10" x14ac:dyDescent="0.25">
      <c r="A87">
        <v>86</v>
      </c>
      <c r="C87" s="3">
        <v>774</v>
      </c>
      <c r="D87" t="s">
        <v>141</v>
      </c>
      <c r="E87">
        <v>312</v>
      </c>
      <c r="F87">
        <v>2.39</v>
      </c>
      <c r="G87">
        <v>2.64</v>
      </c>
      <c r="H87" s="1">
        <v>9.4700000000000006E-2</v>
      </c>
      <c r="I87">
        <v>3</v>
      </c>
      <c r="J87" t="str">
        <f t="shared" si="2"/>
        <v>774.psd</v>
      </c>
    </row>
    <row r="88" spans="1:10" x14ac:dyDescent="0.25">
      <c r="A88">
        <v>87</v>
      </c>
      <c r="C88" s="3">
        <v>613</v>
      </c>
      <c r="D88" t="s">
        <v>142</v>
      </c>
      <c r="E88">
        <v>310</v>
      </c>
      <c r="F88">
        <v>5.39</v>
      </c>
      <c r="G88">
        <v>6.49</v>
      </c>
      <c r="H88" s="1">
        <v>0.16950000000000001</v>
      </c>
      <c r="I88">
        <v>74</v>
      </c>
      <c r="J88" t="str">
        <f t="shared" si="2"/>
        <v>613.psd</v>
      </c>
    </row>
    <row r="89" spans="1:10" x14ac:dyDescent="0.25">
      <c r="A89">
        <v>88</v>
      </c>
      <c r="C89" s="3">
        <v>119</v>
      </c>
      <c r="D89" t="s">
        <v>143</v>
      </c>
      <c r="E89">
        <v>307</v>
      </c>
      <c r="F89">
        <v>34.49</v>
      </c>
      <c r="G89">
        <v>37.99</v>
      </c>
      <c r="H89" s="1">
        <v>9.2100000000000001E-2</v>
      </c>
      <c r="I89">
        <v>55</v>
      </c>
      <c r="J89" t="str">
        <f t="shared" si="2"/>
        <v>119.psd</v>
      </c>
    </row>
    <row r="90" spans="1:10" x14ac:dyDescent="0.25">
      <c r="A90">
        <v>89</v>
      </c>
      <c r="C90" s="3" t="s">
        <v>144</v>
      </c>
      <c r="D90" t="s">
        <v>145</v>
      </c>
      <c r="E90">
        <v>307</v>
      </c>
      <c r="F90">
        <v>2.29</v>
      </c>
      <c r="G90">
        <v>2.59</v>
      </c>
      <c r="H90" s="1">
        <v>0.1158</v>
      </c>
      <c r="I90">
        <v>76</v>
      </c>
      <c r="J90" t="str">
        <f t="shared" si="2"/>
        <v>159M.psd</v>
      </c>
    </row>
    <row r="91" spans="1:10" x14ac:dyDescent="0.25">
      <c r="A91">
        <v>90</v>
      </c>
      <c r="C91" s="3" t="s">
        <v>146</v>
      </c>
      <c r="D91" t="s">
        <v>147</v>
      </c>
      <c r="E91">
        <v>306</v>
      </c>
      <c r="F91">
        <v>7.17</v>
      </c>
      <c r="G91">
        <v>7.99</v>
      </c>
      <c r="H91" s="1">
        <v>0.1026</v>
      </c>
      <c r="I91">
        <v>76</v>
      </c>
      <c r="J91" t="str">
        <f t="shared" si="2"/>
        <v>429AM.psd</v>
      </c>
    </row>
    <row r="92" spans="1:10" x14ac:dyDescent="0.25">
      <c r="A92">
        <v>91</v>
      </c>
      <c r="C92" s="3" t="s">
        <v>148</v>
      </c>
      <c r="D92" t="s">
        <v>149</v>
      </c>
      <c r="E92">
        <v>303</v>
      </c>
      <c r="F92">
        <v>7.2</v>
      </c>
      <c r="G92">
        <v>8.2899999999999991</v>
      </c>
      <c r="H92" s="1">
        <v>0.13150000000000001</v>
      </c>
      <c r="I92">
        <v>55</v>
      </c>
      <c r="J92" t="str">
        <f t="shared" si="2"/>
        <v>10B.psd</v>
      </c>
    </row>
    <row r="93" spans="1:10" x14ac:dyDescent="0.25">
      <c r="A93">
        <v>92</v>
      </c>
      <c r="C93" s="3">
        <v>719</v>
      </c>
      <c r="D93" t="s">
        <v>150</v>
      </c>
      <c r="E93">
        <v>303</v>
      </c>
      <c r="F93">
        <v>4.3899999999999997</v>
      </c>
      <c r="G93">
        <v>4.8899999999999997</v>
      </c>
      <c r="H93" s="1">
        <v>0.1022</v>
      </c>
      <c r="I93">
        <v>70</v>
      </c>
      <c r="J93" t="str">
        <f t="shared" si="2"/>
        <v>719.psd</v>
      </c>
    </row>
    <row r="94" spans="1:10" x14ac:dyDescent="0.25">
      <c r="A94">
        <v>93</v>
      </c>
      <c r="C94" s="3" t="s">
        <v>151</v>
      </c>
      <c r="D94" t="s">
        <v>152</v>
      </c>
      <c r="E94">
        <v>302</v>
      </c>
      <c r="F94">
        <v>6.7</v>
      </c>
      <c r="G94">
        <v>7.99</v>
      </c>
      <c r="H94" s="1">
        <v>0.1615</v>
      </c>
      <c r="I94">
        <v>20</v>
      </c>
      <c r="J94" t="str">
        <f t="shared" si="2"/>
        <v>159UZO.psd</v>
      </c>
    </row>
    <row r="95" spans="1:10" x14ac:dyDescent="0.25">
      <c r="A95">
        <v>94</v>
      </c>
      <c r="C95" s="3" t="s">
        <v>153</v>
      </c>
      <c r="D95" t="s">
        <v>154</v>
      </c>
      <c r="E95">
        <v>300</v>
      </c>
      <c r="F95">
        <v>2.79</v>
      </c>
      <c r="G95">
        <v>3.09</v>
      </c>
      <c r="H95" s="1">
        <v>9.7100000000000006E-2</v>
      </c>
      <c r="I95">
        <v>34</v>
      </c>
      <c r="J95" t="str">
        <f t="shared" si="2"/>
        <v>156T.psd</v>
      </c>
    </row>
    <row r="96" spans="1:10" x14ac:dyDescent="0.25">
      <c r="A96">
        <v>95</v>
      </c>
      <c r="C96" s="3">
        <v>300</v>
      </c>
      <c r="D96" t="s">
        <v>155</v>
      </c>
      <c r="E96">
        <v>298</v>
      </c>
      <c r="F96">
        <v>0.99</v>
      </c>
      <c r="G96">
        <v>1.1200000000000001</v>
      </c>
      <c r="H96" s="1">
        <v>0.11609999999999999</v>
      </c>
      <c r="I96">
        <v>5</v>
      </c>
      <c r="J96" t="str">
        <f t="shared" si="2"/>
        <v>300.psd</v>
      </c>
    </row>
    <row r="97" spans="1:10" x14ac:dyDescent="0.25">
      <c r="A97">
        <v>96</v>
      </c>
      <c r="C97" t="s">
        <v>156</v>
      </c>
      <c r="D97" t="s">
        <v>157</v>
      </c>
      <c r="J97" t="str">
        <f t="shared" si="2"/>
        <v>ANGSET10.psd</v>
      </c>
    </row>
    <row r="98" spans="1:10" x14ac:dyDescent="0.25">
      <c r="A98">
        <v>97</v>
      </c>
      <c r="C98" t="s">
        <v>158</v>
      </c>
      <c r="D98" t="s">
        <v>159</v>
      </c>
      <c r="J98" t="str">
        <f t="shared" si="2"/>
        <v>ANGSET11.psd</v>
      </c>
    </row>
    <row r="99" spans="1:10" x14ac:dyDescent="0.25">
      <c r="A99">
        <v>98</v>
      </c>
      <c r="C99" t="s">
        <v>160</v>
      </c>
      <c r="D99" t="s">
        <v>161</v>
      </c>
      <c r="J99" t="str">
        <f t="shared" si="2"/>
        <v>ANGSET13.psd</v>
      </c>
    </row>
    <row r="100" spans="1:10" x14ac:dyDescent="0.25">
      <c r="A100">
        <v>99</v>
      </c>
      <c r="C100" t="s">
        <v>162</v>
      </c>
      <c r="D100" t="s">
        <v>163</v>
      </c>
      <c r="J100" t="str">
        <f t="shared" si="2"/>
        <v>ANGSET14.psd</v>
      </c>
    </row>
    <row r="101" spans="1:10" x14ac:dyDescent="0.25">
      <c r="A101">
        <v>100</v>
      </c>
      <c r="C101" t="s">
        <v>164</v>
      </c>
      <c r="D101" t="s">
        <v>165</v>
      </c>
      <c r="J101" t="str">
        <f t="shared" si="2"/>
        <v>ANGSET15.psd</v>
      </c>
    </row>
    <row r="102" spans="1:10" x14ac:dyDescent="0.25">
      <c r="A102">
        <v>101</v>
      </c>
      <c r="C102" t="s">
        <v>166</v>
      </c>
      <c r="D102" t="s">
        <v>167</v>
      </c>
      <c r="J102" t="str">
        <f t="shared" si="2"/>
        <v>ANGSET17.psd</v>
      </c>
    </row>
    <row r="103" spans="1:10" x14ac:dyDescent="0.25">
      <c r="A103">
        <v>102</v>
      </c>
      <c r="C103" t="s">
        <v>168</v>
      </c>
      <c r="D103" t="s">
        <v>169</v>
      </c>
      <c r="J103" t="str">
        <f t="shared" si="2"/>
        <v>ANGSET18.psd</v>
      </c>
    </row>
    <row r="104" spans="1:10" x14ac:dyDescent="0.25">
      <c r="A104">
        <v>103</v>
      </c>
      <c r="C104" t="s">
        <v>170</v>
      </c>
      <c r="D104" t="s">
        <v>171</v>
      </c>
      <c r="J104" t="str">
        <f t="shared" si="2"/>
        <v>ANGSET19.psd</v>
      </c>
    </row>
    <row r="105" spans="1:10" x14ac:dyDescent="0.25">
      <c r="A105">
        <v>104</v>
      </c>
      <c r="C105" t="s">
        <v>172</v>
      </c>
      <c r="D105" t="s">
        <v>173</v>
      </c>
      <c r="J105" t="str">
        <f t="shared" si="2"/>
        <v>ANGSET20.psd</v>
      </c>
    </row>
    <row r="106" spans="1:10" x14ac:dyDescent="0.25">
      <c r="A106">
        <v>105</v>
      </c>
      <c r="C106" t="s">
        <v>176</v>
      </c>
      <c r="D106" t="s">
        <v>177</v>
      </c>
      <c r="J106" t="str">
        <f t="shared" si="2"/>
        <v>ANGSET22.psd</v>
      </c>
    </row>
    <row r="107" spans="1:10" x14ac:dyDescent="0.25">
      <c r="A107">
        <v>106</v>
      </c>
      <c r="C107" t="s">
        <v>178</v>
      </c>
      <c r="D107" t="s">
        <v>179</v>
      </c>
      <c r="J107" t="str">
        <f t="shared" si="2"/>
        <v>ANGSET23.psd</v>
      </c>
    </row>
    <row r="108" spans="1:10" x14ac:dyDescent="0.25">
      <c r="A108">
        <v>107</v>
      </c>
      <c r="C108" t="s">
        <v>180</v>
      </c>
      <c r="D108" t="s">
        <v>181</v>
      </c>
      <c r="J108" t="str">
        <f t="shared" si="2"/>
        <v>ANGSET25.psd</v>
      </c>
    </row>
    <row r="109" spans="1:10" x14ac:dyDescent="0.25">
      <c r="A109">
        <v>108</v>
      </c>
      <c r="C109" t="s">
        <v>184</v>
      </c>
      <c r="D109" t="s">
        <v>183</v>
      </c>
      <c r="J109" t="str">
        <f t="shared" si="2"/>
        <v>ANGSET30.psd</v>
      </c>
    </row>
    <row r="110" spans="1:10" x14ac:dyDescent="0.25">
      <c r="A110">
        <v>109</v>
      </c>
      <c r="C110" t="s">
        <v>185</v>
      </c>
      <c r="D110" t="s">
        <v>183</v>
      </c>
      <c r="J110" t="str">
        <f t="shared" si="2"/>
        <v>ANGSET31.psd</v>
      </c>
    </row>
    <row r="111" spans="1:10" x14ac:dyDescent="0.25">
      <c r="A111">
        <v>110</v>
      </c>
      <c r="C111" t="s">
        <v>186</v>
      </c>
      <c r="D111" t="s">
        <v>183</v>
      </c>
      <c r="J111" t="str">
        <f t="shared" si="2"/>
        <v>ANGSET32.psd</v>
      </c>
    </row>
    <row r="112" spans="1:10" x14ac:dyDescent="0.25">
      <c r="A112">
        <v>111</v>
      </c>
      <c r="C112" t="s">
        <v>187</v>
      </c>
      <c r="D112" t="s">
        <v>183</v>
      </c>
      <c r="J112" t="str">
        <f t="shared" si="2"/>
        <v>ANGSET33.psd</v>
      </c>
    </row>
    <row r="113" spans="1:10" x14ac:dyDescent="0.25">
      <c r="A113">
        <v>112</v>
      </c>
      <c r="C113" t="s">
        <v>188</v>
      </c>
      <c r="D113" t="s">
        <v>183</v>
      </c>
      <c r="J113" t="str">
        <f t="shared" si="2"/>
        <v>ANGSET34.psd</v>
      </c>
    </row>
    <row r="114" spans="1:10" x14ac:dyDescent="0.25">
      <c r="A114">
        <v>113</v>
      </c>
      <c r="C114" t="s">
        <v>189</v>
      </c>
      <c r="D114" t="s">
        <v>183</v>
      </c>
      <c r="J114" t="str">
        <f t="shared" si="2"/>
        <v>ANGSET35.psd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kursat yurtsever</cp:lastModifiedBy>
  <cp:lastPrinted>2025-02-15T11:38:56Z</cp:lastPrinted>
  <dcterms:created xsi:type="dcterms:W3CDTF">2024-11-18T16:21:15Z</dcterms:created>
  <dcterms:modified xsi:type="dcterms:W3CDTF">2026-03-18T18:14:00Z</dcterms:modified>
</cp:coreProperties>
</file>